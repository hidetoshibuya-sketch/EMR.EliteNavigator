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rd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<sst xmlns="http://schemas.openxmlformats.org/spreadsheetml/2006/main" count="170" uniqueCount="55">
  <si>
    <r>
      <rPr>
        <b val="true"/>
        <sz val="11"/>
        <color rgb="FFFFFFFF"/>
        <rFont val="Arial"/>
        <family val="0"/>
        <charset val="1"/>
      </rPr>
      <t xml:space="preserve">Date / </t>
    </r>
    <r>
      <rPr>
        <b val="true"/>
        <sz val="11"/>
        <color rgb="FFFFFFFF"/>
        <rFont val="DejaVu Sans"/>
        <family val="2"/>
      </rPr>
      <t xml:space="preserve">日付</t>
    </r>
  </si>
  <si>
    <r>
      <rPr>
        <b val="true"/>
        <sz val="11"/>
        <color rgb="FFFFFFFF"/>
        <rFont val="Arial"/>
        <family val="0"/>
        <charset val="1"/>
      </rPr>
      <t xml:space="preserve">Age / </t>
    </r>
    <r>
      <rPr>
        <b val="true"/>
        <sz val="11"/>
        <color rgb="FFFFFFFF"/>
        <rFont val="DejaVu Sans"/>
        <family val="2"/>
      </rPr>
      <t xml:space="preserve">年齢</t>
    </r>
  </si>
  <si>
    <r>
      <rPr>
        <b val="true"/>
        <sz val="11"/>
        <color rgb="FFFFFFFF"/>
        <rFont val="Arial"/>
        <family val="0"/>
        <charset val="1"/>
      </rPr>
      <t xml:space="preserve">Sex / </t>
    </r>
    <r>
      <rPr>
        <b val="true"/>
        <sz val="11"/>
        <color rgb="FFFFFFFF"/>
        <rFont val="DejaVu Sans"/>
        <family val="2"/>
      </rPr>
      <t xml:space="preserve">性別</t>
    </r>
  </si>
  <si>
    <r>
      <rPr>
        <b val="true"/>
        <sz val="11"/>
        <color rgb="FFFFFFFF"/>
        <rFont val="Arial"/>
        <family val="0"/>
        <charset val="1"/>
      </rPr>
      <t xml:space="preserve">Chief Complaint / </t>
    </r>
    <r>
      <rPr>
        <b val="true"/>
        <sz val="11"/>
        <color rgb="FFFFFFFF"/>
        <rFont val="DejaVu Sans"/>
        <family val="2"/>
      </rPr>
      <t xml:space="preserve">主訴</t>
    </r>
  </si>
  <si>
    <r>
      <rPr>
        <b val="true"/>
        <sz val="11"/>
        <color rgb="FFFFFFFF"/>
        <rFont val="Arial"/>
        <family val="0"/>
        <charset val="1"/>
      </rPr>
      <t xml:space="preserve">Transport / </t>
    </r>
    <r>
      <rPr>
        <b val="true"/>
        <sz val="11"/>
        <color rgb="FFFFFFFF"/>
        <rFont val="DejaVu Sans"/>
        <family val="2"/>
      </rPr>
      <t xml:space="preserve">搬送</t>
    </r>
  </si>
  <si>
    <r>
      <rPr>
        <b val="true"/>
        <sz val="11"/>
        <color rgb="FFFFFFFF"/>
        <rFont val="Arial"/>
        <family val="0"/>
        <charset val="1"/>
      </rPr>
      <t xml:space="preserve">Station / </t>
    </r>
    <r>
      <rPr>
        <b val="true"/>
        <sz val="11"/>
        <color rgb="FFFFFFFF"/>
        <rFont val="DejaVu Sans"/>
        <family val="2"/>
      </rPr>
      <t xml:space="preserve">基地</t>
    </r>
  </si>
  <si>
    <r>
      <rPr>
        <b val="true"/>
        <sz val="11"/>
        <color rgb="FFFFFFFF"/>
        <rFont val="Arial"/>
        <family val="0"/>
        <charset val="1"/>
      </rPr>
      <t xml:space="preserve">Engine / </t>
    </r>
    <r>
      <rPr>
        <b val="true"/>
        <sz val="11"/>
        <color rgb="FFFFFFFF"/>
        <rFont val="DejaVu Sans"/>
        <family val="2"/>
      </rPr>
      <t xml:space="preserve">エンジン</t>
    </r>
  </si>
  <si>
    <r>
      <rPr>
        <b val="true"/>
        <sz val="11"/>
        <color rgb="FFFFFFFF"/>
        <rFont val="Arial"/>
        <family val="0"/>
        <charset val="1"/>
      </rPr>
      <t xml:space="preserve">Active (min) / </t>
    </r>
    <r>
      <rPr>
        <b val="true"/>
        <sz val="11"/>
        <color rgb="FFFFFFFF"/>
        <rFont val="DejaVu Sans"/>
        <family val="2"/>
      </rPr>
      <t xml:space="preserve">稼働分</t>
    </r>
  </si>
  <si>
    <t xml:space="preserve">Male</t>
  </si>
  <si>
    <t xml:space="preserve">Heat illness</t>
  </si>
  <si>
    <t xml:space="preserve">Yes</t>
  </si>
  <si>
    <t xml:space="preserve">YND</t>
  </si>
  <si>
    <t xml:space="preserve">Female</t>
  </si>
  <si>
    <t xml:space="preserve">Palpitations</t>
  </si>
  <si>
    <t xml:space="preserve">KAHP</t>
  </si>
  <si>
    <t xml:space="preserve">Trauma / Injury</t>
  </si>
  <si>
    <t xml:space="preserve">No</t>
  </si>
  <si>
    <t xml:space="preserve">Non-binary</t>
  </si>
  <si>
    <t xml:space="preserve">SHA</t>
  </si>
  <si>
    <t xml:space="preserve">ZAMA</t>
  </si>
  <si>
    <t xml:space="preserve">Convulsion / Seizure</t>
  </si>
  <si>
    <t xml:space="preserve">Abdominal pain</t>
  </si>
  <si>
    <t xml:space="preserve">Allergic reaction</t>
  </si>
  <si>
    <t xml:space="preserve">Nausea / Vomiting</t>
  </si>
  <si>
    <t xml:space="preserve">Stroke: Facial droop</t>
  </si>
  <si>
    <t xml:space="preserve">SGD</t>
  </si>
  <si>
    <t xml:space="preserve">Difficulty breathing</t>
  </si>
  <si>
    <t xml:space="preserve">Chest pain</t>
  </si>
  <si>
    <t xml:space="preserve">EMR Annual Response Data — Summary</t>
  </si>
  <si>
    <r>
      <rPr>
        <sz val="10"/>
        <color rgb="FF64748B"/>
        <rFont val="Arial"/>
        <family val="0"/>
        <charset val="1"/>
      </rPr>
      <t xml:space="preserve">Auto-aggregated from Records / Records</t>
    </r>
    <r>
      <rPr>
        <sz val="10"/>
        <color rgb="FF64748B"/>
        <rFont val="DejaVu Sans"/>
        <family val="2"/>
      </rPr>
      <t xml:space="preserve">シートから自動集計（</t>
    </r>
    <r>
      <rPr>
        <sz val="10"/>
        <color rgb="FF64748B"/>
        <rFont val="Arial"/>
        <family val="0"/>
        <charset val="1"/>
      </rPr>
      <t xml:space="preserve">2026</t>
    </r>
    <r>
      <rPr>
        <sz val="10"/>
        <color rgb="FF64748B"/>
        <rFont val="DejaVu Sans"/>
        <family val="2"/>
      </rPr>
      <t xml:space="preserve">）</t>
    </r>
  </si>
  <si>
    <r>
      <rPr>
        <b val="true"/>
        <sz val="12"/>
        <color rgb="FF1D4ED8"/>
        <rFont val="Arial"/>
        <family val="0"/>
        <charset val="1"/>
      </rPr>
      <t xml:space="preserve">Key Metrics / </t>
    </r>
    <r>
      <rPr>
        <b val="true"/>
        <sz val="12"/>
        <color rgb="FF1D4ED8"/>
        <rFont val="DejaVu Sans"/>
        <family val="2"/>
      </rPr>
      <t xml:space="preserve">主要指標</t>
    </r>
  </si>
  <si>
    <r>
      <rPr>
        <b val="true"/>
        <sz val="12"/>
        <color rgb="FF1D4ED8"/>
        <rFont val="Arial"/>
        <family val="0"/>
        <charset val="1"/>
      </rPr>
      <t xml:space="preserve">By Month / </t>
    </r>
    <r>
      <rPr>
        <b val="true"/>
        <sz val="12"/>
        <color rgb="FF1D4ED8"/>
        <rFont val="DejaVu Sans"/>
        <family val="2"/>
      </rPr>
      <t xml:space="preserve">月別件数</t>
    </r>
  </si>
  <si>
    <r>
      <rPr>
        <b val="true"/>
        <sz val="12"/>
        <color rgb="FF1D4ED8"/>
        <rFont val="Arial"/>
        <family val="0"/>
        <charset val="1"/>
      </rPr>
      <t xml:space="preserve">By Sex / </t>
    </r>
    <r>
      <rPr>
        <b val="true"/>
        <sz val="12"/>
        <color rgb="FF1D4ED8"/>
        <rFont val="DejaVu Sans"/>
        <family val="2"/>
      </rPr>
      <t xml:space="preserve">性別</t>
    </r>
  </si>
  <si>
    <r>
      <rPr>
        <b val="true"/>
        <sz val="11"/>
        <color rgb="FF0F172A"/>
        <rFont val="Arial"/>
        <family val="0"/>
        <charset val="1"/>
      </rPr>
      <t xml:space="preserve">Total calls / </t>
    </r>
    <r>
      <rPr>
        <b val="true"/>
        <sz val="11"/>
        <color rgb="FF0F172A"/>
        <rFont val="DejaVu Sans"/>
        <family val="2"/>
      </rPr>
      <t xml:space="preserve">総出動件数</t>
    </r>
  </si>
  <si>
    <t xml:space="preserve">Month</t>
  </si>
  <si>
    <t xml:space="preserve">Calls</t>
  </si>
  <si>
    <r>
      <rPr>
        <b val="true"/>
        <sz val="11"/>
        <color rgb="FF0F172A"/>
        <rFont val="Arial"/>
        <family val="0"/>
        <charset val="1"/>
      </rPr>
      <t xml:space="preserve">Transported / </t>
    </r>
    <r>
      <rPr>
        <b val="true"/>
        <sz val="11"/>
        <color rgb="FF0F172A"/>
        <rFont val="DejaVu Sans"/>
        <family val="2"/>
      </rPr>
      <t xml:space="preserve">搬送あり</t>
    </r>
  </si>
  <si>
    <r>
      <rPr>
        <sz val="11"/>
        <color rgb="FF0F172A"/>
        <rFont val="Arial"/>
        <family val="0"/>
        <charset val="1"/>
      </rPr>
      <t xml:space="preserve">Apr / 4</t>
    </r>
    <r>
      <rPr>
        <sz val="11"/>
        <color rgb="FF0F172A"/>
        <rFont val="DejaVu Sans"/>
        <family val="2"/>
      </rPr>
      <t xml:space="preserve">月</t>
    </r>
  </si>
  <si>
    <r>
      <rPr>
        <b val="true"/>
        <sz val="11"/>
        <color rgb="FF0F172A"/>
        <rFont val="Arial"/>
        <family val="0"/>
        <charset val="1"/>
      </rPr>
      <t xml:space="preserve">Transport rate / </t>
    </r>
    <r>
      <rPr>
        <b val="true"/>
        <sz val="11"/>
        <color rgb="FF0F172A"/>
        <rFont val="DejaVu Sans"/>
        <family val="2"/>
      </rPr>
      <t xml:space="preserve">搬送率</t>
    </r>
  </si>
  <si>
    <r>
      <rPr>
        <sz val="11"/>
        <color rgb="FF0F172A"/>
        <rFont val="Arial"/>
        <family val="0"/>
        <charset val="1"/>
      </rPr>
      <t xml:space="preserve">May / 5</t>
    </r>
    <r>
      <rPr>
        <sz val="11"/>
        <color rgb="FF0F172A"/>
        <rFont val="DejaVu Sans"/>
        <family val="2"/>
      </rPr>
      <t xml:space="preserve">月</t>
    </r>
  </si>
  <si>
    <r>
      <rPr>
        <b val="true"/>
        <sz val="11"/>
        <color rgb="FF0F172A"/>
        <rFont val="Arial"/>
        <family val="0"/>
        <charset val="1"/>
      </rPr>
      <t xml:space="preserve">Total active time (h) / </t>
    </r>
    <r>
      <rPr>
        <b val="true"/>
        <sz val="11"/>
        <color rgb="FF0F172A"/>
        <rFont val="DejaVu Sans"/>
        <family val="2"/>
      </rPr>
      <t xml:space="preserve">総稼働時間</t>
    </r>
  </si>
  <si>
    <r>
      <rPr>
        <sz val="11"/>
        <color rgb="FF0F172A"/>
        <rFont val="Arial"/>
        <family val="0"/>
        <charset val="1"/>
      </rPr>
      <t xml:space="preserve">Jun / 6</t>
    </r>
    <r>
      <rPr>
        <sz val="11"/>
        <color rgb="FF0F172A"/>
        <rFont val="DejaVu Sans"/>
        <family val="2"/>
      </rPr>
      <t xml:space="preserve">月</t>
    </r>
  </si>
  <si>
    <r>
      <rPr>
        <b val="true"/>
        <sz val="11"/>
        <color rgb="FF0F172A"/>
        <rFont val="Arial"/>
        <family val="0"/>
        <charset val="1"/>
      </rPr>
      <t xml:space="preserve">Avg active (min) / </t>
    </r>
    <r>
      <rPr>
        <b val="true"/>
        <sz val="11"/>
        <color rgb="FF0F172A"/>
        <rFont val="DejaVu Sans"/>
        <family val="2"/>
      </rPr>
      <t xml:space="preserve">平均稼働分</t>
    </r>
  </si>
  <si>
    <r>
      <rPr>
        <b val="true"/>
        <sz val="12"/>
        <color rgb="FF1D4ED8"/>
        <rFont val="Arial"/>
        <family val="0"/>
        <charset val="1"/>
      </rPr>
      <t xml:space="preserve">Transport / </t>
    </r>
    <r>
      <rPr>
        <b val="true"/>
        <sz val="12"/>
        <color rgb="FF1D4ED8"/>
        <rFont val="DejaVu Sans"/>
        <family val="2"/>
      </rPr>
      <t xml:space="preserve">搬送</t>
    </r>
  </si>
  <si>
    <r>
      <rPr>
        <b val="true"/>
        <sz val="11"/>
        <color rgb="FF0F172A"/>
        <rFont val="Arial"/>
        <family val="0"/>
        <charset val="1"/>
      </rPr>
      <t xml:space="preserve">Avg patient age / </t>
    </r>
    <r>
      <rPr>
        <b val="true"/>
        <sz val="11"/>
        <color rgb="FF0F172A"/>
        <rFont val="DejaVu Sans"/>
        <family val="2"/>
      </rPr>
      <t xml:space="preserve">平均年齢</t>
    </r>
  </si>
  <si>
    <r>
      <rPr>
        <sz val="11"/>
        <color rgb="FF0F172A"/>
        <rFont val="Arial"/>
        <family val="0"/>
        <charset val="1"/>
      </rPr>
      <t xml:space="preserve">Yes / </t>
    </r>
    <r>
      <rPr>
        <sz val="11"/>
        <color rgb="FF0F172A"/>
        <rFont val="DejaVu Sans"/>
        <family val="2"/>
      </rPr>
      <t xml:space="preserve">搬送</t>
    </r>
  </si>
  <si>
    <r>
      <rPr>
        <b val="true"/>
        <sz val="12"/>
        <color rgb="FF1D4ED8"/>
        <rFont val="Arial"/>
        <family val="0"/>
        <charset val="1"/>
      </rPr>
      <t xml:space="preserve">By Station (Annual) / </t>
    </r>
    <r>
      <rPr>
        <b val="true"/>
        <sz val="12"/>
        <color rgb="FF1D4ED8"/>
        <rFont val="DejaVu Sans"/>
        <family val="2"/>
      </rPr>
      <t xml:space="preserve">基地別 年間</t>
    </r>
  </si>
  <si>
    <r>
      <rPr>
        <sz val="11"/>
        <color rgb="FF0F172A"/>
        <rFont val="Arial"/>
        <family val="0"/>
        <charset val="1"/>
      </rPr>
      <t xml:space="preserve">No / </t>
    </r>
    <r>
      <rPr>
        <sz val="11"/>
        <color rgb="FF0F172A"/>
        <rFont val="DejaVu Sans"/>
        <family val="2"/>
      </rPr>
      <t xml:space="preserve">不搬送</t>
    </r>
  </si>
  <si>
    <t xml:space="preserve">Station</t>
  </si>
  <si>
    <t xml:space="preserve">Active h</t>
  </si>
  <si>
    <r>
      <rPr>
        <b val="true"/>
        <sz val="12"/>
        <color rgb="FF1D4ED8"/>
        <rFont val="Arial"/>
        <family val="0"/>
        <charset val="1"/>
      </rPr>
      <t xml:space="preserve">Station × Month (calls) / </t>
    </r>
    <r>
      <rPr>
        <b val="true"/>
        <sz val="12"/>
        <color rgb="FF1D4ED8"/>
        <rFont val="DejaVu Sans"/>
        <family val="2"/>
      </rPr>
      <t xml:space="preserve">基地</t>
    </r>
    <r>
      <rPr>
        <b val="true"/>
        <sz val="12"/>
        <color rgb="FF1D4ED8"/>
        <rFont val="Arial"/>
        <family val="0"/>
        <charset val="1"/>
      </rPr>
      <t xml:space="preserve">×</t>
    </r>
    <r>
      <rPr>
        <b val="true"/>
        <sz val="12"/>
        <color rgb="FF1D4ED8"/>
        <rFont val="DejaVu Sans"/>
        <family val="2"/>
      </rPr>
      <t xml:space="preserve">月別</t>
    </r>
  </si>
  <si>
    <t xml:space="preserve">Apr</t>
  </si>
  <si>
    <t xml:space="preserve">May</t>
  </si>
  <si>
    <t xml:space="preserve">Jun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</si>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</sst>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0.0%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b val="true"/>
      <sz val="15"/>
      <color rgb="FF0F172A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64748B"/>
      <name val="DejaVu Sans"/>
      <family val="2"/>
    </font>
    <font>
      <b val="true"/>
      <sz val="12"/>
      <color rgb="FF1D4ED8"/>
      <name val="Arial"/>
      <family val="0"/>
      <charset val="1"/>
    </font>
    <font>
      <b val="true"/>
      <sz val="12"/>
      <color rgb="FF1D4ED8"/>
      <name val="DejaVu Sans"/>
      <family val="2"/>
    </font>
    <font>
      <b val="true"/>
      <sz val="11"/>
      <color rgb="FF0F172A"/>
      <name val="Arial"/>
      <family val="0"/>
      <charset val="1"/>
    </font>
    <font>
      <b val="true"/>
      <sz val="11"/>
      <color rgb="FF0F172A"/>
      <name val="DejaVu Sans"/>
      <family val="2"/>
    </font>
    <font>
      <sz val="11"/>
      <color rgb="FF0F172A"/>
      <name val="Arial"/>
      <family val="0"/>
      <charset val="1"/>
    </font>
    <font>
      <sz val="11"/>
      <color rgb="FF0F172A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AD7"/>
      <rgbColor rgb="FF878787"/>
      <rgbColor rgb="FF9999FF"/>
      <rgbColor rgb="FFC0504D"/>
      <rgbColor rgb="FFF9F9F9"/>
      <rgbColor rgb="FFE2E8F0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16A9C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4F81BD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Calls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Summary!$D$6:$D$8</c:f>
              <c:strCache>
                <c:ptCount val="3"/>
                <c:pt idx="0">
                  <c:v>Apr / 4月</c:v>
                </c:pt>
                <c:pt idx="1">
                  <c:v>May / 5月</c:v>
                </c:pt>
                <c:pt idx="2">
                  <c:v>Jun / 6月</c:v>
                </c:pt>
              </c:strCache>
            </c:strRef>
          </c:cat>
          <c:val>
            <c:numRef>
              <c:f>Summary!$E$6:$E$8</c:f>
              <c:numCache>
                <c:formatCode>0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</c:ser>
        <c:gapWidth val="150"/>
        <c:overlap val="0"/>
        <c:axId val="87011013"/>
        <c:axId val="8138006"/>
      </c:barChart>
      <c:catAx>
        <c:axId val="87011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8006"/>
        <c:crosses val="autoZero"/>
        <c:auto val="1"/>
        <c:lblAlgn val="ctr"/>
        <c:lblOffset val="100"/>
        <c:noMultiLvlLbl val="0"/>
      </c:catAx>
      <c:valAx>
        <c:axId val="8138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0110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Calls by Station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Summary!$D$13:$D$17</c:f>
              <c:strCache>
                <c:ptCount val="5"/>
                <c:pt idx="0">
                  <c:v>ZAMA</c:v>
                </c:pt>
                <c:pt idx="1">
                  <c:v>KAHP</c:v>
                </c:pt>
                <c:pt idx="2">
                  <c:v>SHA</c:v>
                </c:pt>
                <c:pt idx="3">
                  <c:v>SGD</c:v>
                </c:pt>
                <c:pt idx="4">
                  <c:v>YND</c:v>
                </c:pt>
              </c:strCache>
            </c:strRef>
          </c:cat>
          <c:val>
            <c:numRef>
              <c:f>Summary!$E$13:$E$17</c:f>
              <c:numCache>
                <c:formatCode>0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31011485"/>
        <c:axId val="81566119"/>
      </c:barChart>
      <c:catAx>
        <c:axId val="31011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566119"/>
        <c:crosses val="autoZero"/>
        <c:auto val="1"/>
        <c:lblAlgn val="ctr"/>
        <c:lblOffset val="100"/>
        <c:noMultiLvlLbl val="0"/>
      </c:catAx>
      <c:valAx>
        <c:axId val="81566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0114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Transport Yes/No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Summary!$H$10:$H$11</c:f>
              <c:strCache>
                <c:ptCount val="2"/>
                <c:pt idx="0">
                  <c:v>Yes / 搬送</c:v>
                </c:pt>
                <c:pt idx="1">
                  <c:v>No / 不搬送</c:v>
                </c:pt>
              </c:strCache>
            </c:strRef>
          </c:cat>
          <c:val>
            <c:numRef>
              <c:f>Summary!$I$10:$I$11</c:f>
              <c:numCache>
                <c:formatCode>0</c:formatCode>
                <c:ptCount val="2"/>
                <c:pt idx="0">
                  <c:v>22</c:v>
                </c:pt>
                <c:pt idx="1">
                  <c:v>8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Station ×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416A9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Summary!$A$23:$A$27</c:f>
              <c:strCache>
                <c:ptCount val="5"/>
                <c:pt idx="0">
                  <c:v>ZAMA</c:v>
                </c:pt>
                <c:pt idx="1">
                  <c:v>KAHP</c:v>
                </c:pt>
                <c:pt idx="2">
                  <c:v>SHA</c:v>
                </c:pt>
                <c:pt idx="3">
                  <c:v>SGD</c:v>
                </c:pt>
                <c:pt idx="4">
                  <c:v>YND</c:v>
                </c:pt>
              </c:strCache>
            </c:strRef>
          </c:cat>
          <c:val>
            <c:numRef>
              <c:f>Summary!$B$23:$B$27</c:f>
              <c:numCache>
                <c:formatCode>0</c:formatCode>
                <c:ptCount val="5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ser>
          <c:idx val="1"/>
          <c:order val="1"/>
          <c:tx>
            <c:strRef>
              <c:f>Summary!C22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Summary!$A$23:$A$27</c:f>
              <c:strCache>
                <c:ptCount val="5"/>
                <c:pt idx="0">
                  <c:v>ZAMA</c:v>
                </c:pt>
                <c:pt idx="1">
                  <c:v>KAHP</c:v>
                </c:pt>
                <c:pt idx="2">
                  <c:v>SHA</c:v>
                </c:pt>
                <c:pt idx="3">
                  <c:v>SGD</c:v>
                </c:pt>
                <c:pt idx="4">
                  <c:v>YND</c:v>
                </c:pt>
              </c:strCache>
            </c:strRef>
          </c:cat>
          <c:val>
            <c:numRef>
              <c:f>Summary!$C$23:$C$27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ser>
          <c:idx val="2"/>
          <c:order val="2"/>
          <c:tx>
            <c:strRef>
              <c:f>Summary!D22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AABAD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Summary!$A$23:$A$27</c:f>
              <c:strCache>
                <c:ptCount val="5"/>
                <c:pt idx="0">
                  <c:v>ZAMA</c:v>
                </c:pt>
                <c:pt idx="1">
                  <c:v>KAHP</c:v>
                </c:pt>
                <c:pt idx="2">
                  <c:v>SHA</c:v>
                </c:pt>
                <c:pt idx="3">
                  <c:v>SGD</c:v>
                </c:pt>
                <c:pt idx="4">
                  <c:v>YND</c:v>
                </c:pt>
              </c:strCache>
            </c:strRef>
          </c:cat>
          <c:val>
            <c:numRef>
              <c:f>Summary!$D$23:$D$27</c:f>
              <c:numCache>
                <c:formatCode>0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29406285"/>
        <c:axId val="28058526"/>
      </c:barChart>
      <c:catAx>
        <c:axId val="294062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058526"/>
        <c:crosses val="autoZero"/>
        <c:auto val="1"/>
        <c:lblAlgn val="ctr"/>
        <c:lblOffset val="100"/>
        <c:noMultiLvlLbl val="0"/>
      </c:catAx>
      <c:valAx>
        <c:axId val="28058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4062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15</xdr:col>
      <xdr:colOff>542160</xdr:colOff>
      <xdr:row>14</xdr:row>
      <xdr:rowOff>64080</xdr:rowOff>
    </xdr:to>
    <xdr:graphicFrame>
      <xdr:nvGraphicFramePr>
        <xdr:cNvPr id="1" name="Chart 1"/>
        <xdr:cNvGraphicFramePr/>
      </xdr:nvGraphicFramePr>
      <xdr:xfrm>
        <a:off x="9399240" y="61668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542160</xdr:colOff>
      <xdr:row>26</xdr:row>
      <xdr:rowOff>64080</xdr:rowOff>
    </xdr:to>
    <xdr:graphicFrame>
      <xdr:nvGraphicFramePr>
        <xdr:cNvPr id="2" name="Chart 2"/>
        <xdr:cNvGraphicFramePr/>
      </xdr:nvGraphicFramePr>
      <xdr:xfrm>
        <a:off x="9399240" y="290268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14</xdr:col>
      <xdr:colOff>433440</xdr:colOff>
      <xdr:row>38</xdr:row>
      <xdr:rowOff>64080</xdr:rowOff>
    </xdr:to>
    <xdr:graphicFrame>
      <xdr:nvGraphicFramePr>
        <xdr:cNvPr id="3" name="Chart 3"/>
        <xdr:cNvGraphicFramePr/>
      </xdr:nvGraphicFramePr>
      <xdr:xfrm>
        <a:off x="9399240" y="5188680"/>
        <a:ext cx="287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27720</xdr:colOff>
      <xdr:row>41</xdr:row>
      <xdr:rowOff>43200</xdr:rowOff>
    </xdr:to>
    <xdr:graphicFrame>
      <xdr:nvGraphicFramePr>
        <xdr:cNvPr id="4" name="Chart 4"/>
        <xdr:cNvGraphicFramePr/>
      </xdr:nvGraphicFramePr>
      <xdr:xfrm>
        <a:off x="0" y="5379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46115</v>
      </c>
      <c r="B2" s="3" t="n">
        <v>57</v>
      </c>
      <c r="C2" s="4" t="s">
        <v>8</v>
      </c>
      <c r="D2" s="4" t="s">
        <v>9</v>
      </c>
      <c r="E2" s="4" t="s">
        <v>10</v>
      </c>
      <c r="F2" s="4" t="s">
        <v>11</v>
      </c>
      <c r="G2" s="3" t="n">
        <v>1</v>
      </c>
      <c r="H2" s="3" t="n">
        <v>58</v>
      </c>
    </row>
    <row r="3" customFormat="false" ht="15" hidden="false" customHeight="false" outlineLevel="0" collapsed="false">
      <c r="A3" s="2" t="n">
        <v>46118</v>
      </c>
      <c r="B3" s="3" t="n">
        <v>13</v>
      </c>
      <c r="C3" s="4" t="s">
        <v>12</v>
      </c>
      <c r="D3" s="4" t="s">
        <v>13</v>
      </c>
      <c r="E3" s="4" t="s">
        <v>10</v>
      </c>
      <c r="F3" s="4" t="s">
        <v>14</v>
      </c>
      <c r="G3" s="3" t="n">
        <v>2</v>
      </c>
      <c r="H3" s="3" t="n">
        <v>64</v>
      </c>
    </row>
    <row r="4" customFormat="false" ht="15" hidden="false" customHeight="false" outlineLevel="0" collapsed="false">
      <c r="A4" s="2" t="n">
        <v>46123</v>
      </c>
      <c r="B4" s="3" t="n">
        <v>53</v>
      </c>
      <c r="C4" s="4" t="s">
        <v>12</v>
      </c>
      <c r="D4" s="4" t="s">
        <v>15</v>
      </c>
      <c r="E4" s="4" t="s">
        <v>16</v>
      </c>
      <c r="F4" s="4" t="s">
        <v>14</v>
      </c>
      <c r="G4" s="3" t="n">
        <v>1</v>
      </c>
      <c r="H4" s="3" t="n">
        <v>41</v>
      </c>
    </row>
    <row r="5" customFormat="false" ht="15" hidden="false" customHeight="false" outlineLevel="0" collapsed="false">
      <c r="A5" s="2" t="n">
        <v>46127</v>
      </c>
      <c r="B5" s="3" t="n">
        <v>80</v>
      </c>
      <c r="C5" s="4" t="s">
        <v>17</v>
      </c>
      <c r="D5" s="4" t="s">
        <v>15</v>
      </c>
      <c r="E5" s="4" t="s">
        <v>10</v>
      </c>
      <c r="F5" s="4" t="s">
        <v>18</v>
      </c>
      <c r="G5" s="3" t="n">
        <v>1</v>
      </c>
      <c r="H5" s="3" t="n">
        <v>66</v>
      </c>
    </row>
    <row r="6" customFormat="false" ht="15" hidden="false" customHeight="false" outlineLevel="0" collapsed="false">
      <c r="A6" s="2" t="n">
        <v>46130</v>
      </c>
      <c r="B6" s="3" t="n">
        <v>40</v>
      </c>
      <c r="C6" s="4" t="s">
        <v>8</v>
      </c>
      <c r="D6" s="4" t="s">
        <v>13</v>
      </c>
      <c r="E6" s="4" t="s">
        <v>10</v>
      </c>
      <c r="F6" s="4" t="s">
        <v>14</v>
      </c>
      <c r="G6" s="3" t="n">
        <v>2</v>
      </c>
      <c r="H6" s="3" t="n">
        <v>53</v>
      </c>
    </row>
    <row r="7" customFormat="false" ht="15" hidden="false" customHeight="false" outlineLevel="0" collapsed="false">
      <c r="A7" s="2" t="n">
        <v>46131</v>
      </c>
      <c r="B7" s="3" t="n">
        <v>67</v>
      </c>
      <c r="C7" s="4" t="s">
        <v>8</v>
      </c>
      <c r="D7" s="4" t="s">
        <v>15</v>
      </c>
      <c r="E7" s="4" t="s">
        <v>10</v>
      </c>
      <c r="F7" s="4" t="s">
        <v>19</v>
      </c>
      <c r="G7" s="3" t="n">
        <v>1</v>
      </c>
      <c r="H7" s="3" t="n">
        <v>33</v>
      </c>
    </row>
    <row r="8" customFormat="false" ht="15" hidden="false" customHeight="false" outlineLevel="0" collapsed="false">
      <c r="A8" s="2" t="n">
        <v>46133</v>
      </c>
      <c r="B8" s="3" t="n">
        <v>10</v>
      </c>
      <c r="C8" s="4" t="s">
        <v>12</v>
      </c>
      <c r="D8" s="4" t="s">
        <v>20</v>
      </c>
      <c r="E8" s="4" t="s">
        <v>10</v>
      </c>
      <c r="F8" s="4" t="s">
        <v>11</v>
      </c>
      <c r="G8" s="3" t="n">
        <v>1</v>
      </c>
      <c r="H8" s="3" t="n">
        <v>20</v>
      </c>
    </row>
    <row r="9" customFormat="false" ht="15" hidden="false" customHeight="false" outlineLevel="0" collapsed="false">
      <c r="A9" s="2" t="n">
        <v>46135</v>
      </c>
      <c r="B9" s="3" t="n">
        <v>75</v>
      </c>
      <c r="C9" s="4" t="s">
        <v>8</v>
      </c>
      <c r="D9" s="4" t="s">
        <v>21</v>
      </c>
      <c r="E9" s="4" t="s">
        <v>10</v>
      </c>
      <c r="F9" s="4" t="s">
        <v>19</v>
      </c>
      <c r="G9" s="3" t="n">
        <v>3</v>
      </c>
      <c r="H9" s="3" t="n">
        <v>45</v>
      </c>
    </row>
    <row r="10" customFormat="false" ht="15" hidden="false" customHeight="false" outlineLevel="0" collapsed="false">
      <c r="A10" s="2" t="n">
        <v>46137</v>
      </c>
      <c r="B10" s="3" t="n">
        <v>62</v>
      </c>
      <c r="C10" s="4" t="s">
        <v>12</v>
      </c>
      <c r="D10" s="4" t="s">
        <v>22</v>
      </c>
      <c r="E10" s="4" t="s">
        <v>10</v>
      </c>
      <c r="F10" s="4" t="s">
        <v>18</v>
      </c>
      <c r="G10" s="3" t="n">
        <v>1</v>
      </c>
      <c r="H10" s="3" t="n">
        <v>68</v>
      </c>
    </row>
    <row r="11" customFormat="false" ht="15" hidden="false" customHeight="false" outlineLevel="0" collapsed="false">
      <c r="A11" s="2" t="n">
        <v>46139</v>
      </c>
      <c r="B11" s="3" t="n">
        <v>16</v>
      </c>
      <c r="C11" s="4" t="s">
        <v>12</v>
      </c>
      <c r="D11" s="4" t="s">
        <v>23</v>
      </c>
      <c r="E11" s="4" t="s">
        <v>10</v>
      </c>
      <c r="F11" s="4" t="s">
        <v>14</v>
      </c>
      <c r="G11" s="3" t="n">
        <v>1</v>
      </c>
      <c r="H11" s="3" t="n">
        <v>53</v>
      </c>
    </row>
    <row r="12" customFormat="false" ht="15" hidden="false" customHeight="false" outlineLevel="0" collapsed="false">
      <c r="A12" s="2" t="n">
        <v>46143</v>
      </c>
      <c r="B12" s="3" t="n">
        <v>78</v>
      </c>
      <c r="C12" s="4" t="s">
        <v>8</v>
      </c>
      <c r="D12" s="4" t="s">
        <v>24</v>
      </c>
      <c r="E12" s="4" t="s">
        <v>10</v>
      </c>
      <c r="F12" s="4" t="s">
        <v>25</v>
      </c>
      <c r="G12" s="3" t="n">
        <v>2</v>
      </c>
      <c r="H12" s="3" t="n">
        <v>52</v>
      </c>
    </row>
    <row r="13" customFormat="false" ht="15" hidden="false" customHeight="false" outlineLevel="0" collapsed="false">
      <c r="A13" s="2" t="n">
        <v>46152</v>
      </c>
      <c r="B13" s="3" t="n">
        <v>60</v>
      </c>
      <c r="C13" s="4" t="s">
        <v>8</v>
      </c>
      <c r="D13" s="4" t="s">
        <v>20</v>
      </c>
      <c r="E13" s="4" t="s">
        <v>16</v>
      </c>
      <c r="F13" s="4" t="s">
        <v>11</v>
      </c>
      <c r="G13" s="3" t="n">
        <v>2</v>
      </c>
      <c r="H13" s="3" t="n">
        <v>19</v>
      </c>
    </row>
    <row r="14" customFormat="false" ht="15" hidden="false" customHeight="false" outlineLevel="0" collapsed="false">
      <c r="A14" s="2" t="n">
        <v>46153</v>
      </c>
      <c r="B14" s="3" t="n">
        <v>65</v>
      </c>
      <c r="C14" s="4" t="s">
        <v>8</v>
      </c>
      <c r="D14" s="4" t="s">
        <v>23</v>
      </c>
      <c r="E14" s="4" t="s">
        <v>10</v>
      </c>
      <c r="F14" s="4" t="s">
        <v>14</v>
      </c>
      <c r="G14" s="3" t="n">
        <v>3</v>
      </c>
      <c r="H14" s="3" t="n">
        <v>54</v>
      </c>
    </row>
    <row r="15" customFormat="false" ht="15" hidden="false" customHeight="false" outlineLevel="0" collapsed="false">
      <c r="A15" s="2" t="n">
        <v>46154</v>
      </c>
      <c r="B15" s="3" t="n">
        <v>75</v>
      </c>
      <c r="C15" s="4" t="s">
        <v>8</v>
      </c>
      <c r="D15" s="4" t="s">
        <v>26</v>
      </c>
      <c r="E15" s="4" t="s">
        <v>16</v>
      </c>
      <c r="F15" s="4" t="s">
        <v>11</v>
      </c>
      <c r="G15" s="3" t="n">
        <v>3</v>
      </c>
      <c r="H15" s="3" t="n">
        <v>57</v>
      </c>
    </row>
    <row r="16" customFormat="false" ht="15" hidden="false" customHeight="false" outlineLevel="0" collapsed="false">
      <c r="A16" s="2" t="n">
        <v>46157</v>
      </c>
      <c r="B16" s="3" t="n">
        <v>24</v>
      </c>
      <c r="C16" s="4" t="s">
        <v>12</v>
      </c>
      <c r="D16" s="4" t="s">
        <v>22</v>
      </c>
      <c r="E16" s="4" t="s">
        <v>10</v>
      </c>
      <c r="F16" s="4" t="s">
        <v>18</v>
      </c>
      <c r="G16" s="3" t="n">
        <v>2</v>
      </c>
      <c r="H16" s="3" t="n">
        <v>26</v>
      </c>
    </row>
    <row r="17" customFormat="false" ht="15" hidden="false" customHeight="false" outlineLevel="0" collapsed="false">
      <c r="A17" s="2" t="n">
        <v>46160</v>
      </c>
      <c r="B17" s="3" t="n">
        <v>20</v>
      </c>
      <c r="C17" s="4" t="s">
        <v>12</v>
      </c>
      <c r="D17" s="4" t="s">
        <v>13</v>
      </c>
      <c r="E17" s="4" t="s">
        <v>10</v>
      </c>
      <c r="F17" s="4" t="s">
        <v>18</v>
      </c>
      <c r="G17" s="3" t="n">
        <v>2</v>
      </c>
      <c r="H17" s="3" t="n">
        <v>40</v>
      </c>
    </row>
    <row r="18" customFormat="false" ht="15" hidden="false" customHeight="false" outlineLevel="0" collapsed="false">
      <c r="A18" s="2" t="n">
        <v>46164</v>
      </c>
      <c r="B18" s="3" t="n">
        <v>32</v>
      </c>
      <c r="C18" s="4" t="s">
        <v>8</v>
      </c>
      <c r="D18" s="4" t="s">
        <v>26</v>
      </c>
      <c r="E18" s="4" t="s">
        <v>10</v>
      </c>
      <c r="F18" s="4" t="s">
        <v>25</v>
      </c>
      <c r="G18" s="3" t="n">
        <v>3</v>
      </c>
      <c r="H18" s="3" t="n">
        <v>32</v>
      </c>
    </row>
    <row r="19" customFormat="false" ht="15" hidden="false" customHeight="false" outlineLevel="0" collapsed="false">
      <c r="A19" s="2" t="n">
        <v>46166</v>
      </c>
      <c r="B19" s="3" t="n">
        <v>53</v>
      </c>
      <c r="C19" s="4" t="s">
        <v>8</v>
      </c>
      <c r="D19" s="4" t="s">
        <v>22</v>
      </c>
      <c r="E19" s="4" t="s">
        <v>10</v>
      </c>
      <c r="F19" s="4" t="s">
        <v>14</v>
      </c>
      <c r="G19" s="3" t="n">
        <v>2</v>
      </c>
      <c r="H19" s="3" t="n">
        <v>43</v>
      </c>
    </row>
    <row r="20" customFormat="false" ht="15" hidden="false" customHeight="false" outlineLevel="0" collapsed="false">
      <c r="A20" s="2" t="n">
        <v>46168</v>
      </c>
      <c r="B20" s="3" t="n">
        <v>46</v>
      </c>
      <c r="C20" s="4" t="s">
        <v>12</v>
      </c>
      <c r="D20" s="4" t="s">
        <v>9</v>
      </c>
      <c r="E20" s="4" t="s">
        <v>10</v>
      </c>
      <c r="F20" s="4" t="s">
        <v>18</v>
      </c>
      <c r="G20" s="3" t="n">
        <v>2</v>
      </c>
      <c r="H20" s="3" t="n">
        <v>22</v>
      </c>
    </row>
    <row r="21" customFormat="false" ht="15" hidden="false" customHeight="false" outlineLevel="0" collapsed="false">
      <c r="A21" s="2" t="n">
        <v>46169</v>
      </c>
      <c r="B21" s="3" t="n">
        <v>37</v>
      </c>
      <c r="C21" s="4" t="s">
        <v>8</v>
      </c>
      <c r="D21" s="4" t="s">
        <v>23</v>
      </c>
      <c r="E21" s="4" t="s">
        <v>10</v>
      </c>
      <c r="F21" s="4" t="s">
        <v>19</v>
      </c>
      <c r="G21" s="3" t="n">
        <v>3</v>
      </c>
      <c r="H21" s="3" t="n">
        <v>62</v>
      </c>
    </row>
    <row r="22" customFormat="false" ht="15" hidden="false" customHeight="false" outlineLevel="0" collapsed="false">
      <c r="A22" s="2" t="n">
        <v>46174</v>
      </c>
      <c r="B22" s="3" t="n">
        <v>41</v>
      </c>
      <c r="C22" s="4" t="s">
        <v>17</v>
      </c>
      <c r="D22" s="4" t="s">
        <v>15</v>
      </c>
      <c r="E22" s="4" t="s">
        <v>16</v>
      </c>
      <c r="F22" s="4" t="s">
        <v>11</v>
      </c>
      <c r="G22" s="3" t="n">
        <v>2</v>
      </c>
      <c r="H22" s="3" t="n">
        <v>51</v>
      </c>
    </row>
    <row r="23" customFormat="false" ht="15" hidden="false" customHeight="false" outlineLevel="0" collapsed="false">
      <c r="A23" s="2" t="n">
        <v>46178</v>
      </c>
      <c r="B23" s="3" t="n">
        <v>47</v>
      </c>
      <c r="C23" s="4" t="s">
        <v>12</v>
      </c>
      <c r="D23" s="4" t="s">
        <v>22</v>
      </c>
      <c r="E23" s="4" t="s">
        <v>10</v>
      </c>
      <c r="F23" s="4" t="s">
        <v>18</v>
      </c>
      <c r="G23" s="3" t="n">
        <v>2</v>
      </c>
      <c r="H23" s="3" t="n">
        <v>47</v>
      </c>
    </row>
    <row r="24" customFormat="false" ht="15" hidden="false" customHeight="false" outlineLevel="0" collapsed="false">
      <c r="A24" s="2" t="n">
        <v>46185</v>
      </c>
      <c r="B24" s="3" t="n">
        <v>48</v>
      </c>
      <c r="C24" s="4" t="s">
        <v>12</v>
      </c>
      <c r="D24" s="4" t="s">
        <v>13</v>
      </c>
      <c r="E24" s="4" t="s">
        <v>10</v>
      </c>
      <c r="F24" s="4" t="s">
        <v>14</v>
      </c>
      <c r="G24" s="3" t="n">
        <v>3</v>
      </c>
      <c r="H24" s="3" t="n">
        <v>39</v>
      </c>
    </row>
    <row r="25" customFormat="false" ht="15" hidden="false" customHeight="false" outlineLevel="0" collapsed="false">
      <c r="A25" s="2" t="n">
        <v>46186</v>
      </c>
      <c r="B25" s="3" t="n">
        <v>16</v>
      </c>
      <c r="C25" s="4" t="s">
        <v>8</v>
      </c>
      <c r="D25" s="4" t="s">
        <v>20</v>
      </c>
      <c r="E25" s="4" t="s">
        <v>10</v>
      </c>
      <c r="F25" s="4" t="s">
        <v>25</v>
      </c>
      <c r="G25" s="3" t="n">
        <v>1</v>
      </c>
      <c r="H25" s="3" t="n">
        <v>31</v>
      </c>
    </row>
    <row r="26" customFormat="false" ht="15" hidden="false" customHeight="false" outlineLevel="0" collapsed="false">
      <c r="A26" s="2" t="n">
        <v>46188</v>
      </c>
      <c r="B26" s="3" t="n">
        <v>17</v>
      </c>
      <c r="C26" s="4" t="s">
        <v>8</v>
      </c>
      <c r="D26" s="4" t="s">
        <v>27</v>
      </c>
      <c r="E26" s="4" t="s">
        <v>10</v>
      </c>
      <c r="F26" s="4" t="s">
        <v>14</v>
      </c>
      <c r="G26" s="3" t="n">
        <v>3</v>
      </c>
      <c r="H26" s="3" t="n">
        <v>27</v>
      </c>
    </row>
    <row r="27" customFormat="false" ht="15" hidden="false" customHeight="false" outlineLevel="0" collapsed="false">
      <c r="A27" s="2" t="n">
        <v>46189</v>
      </c>
      <c r="B27" s="3" t="n">
        <v>42</v>
      </c>
      <c r="C27" s="4" t="s">
        <v>8</v>
      </c>
      <c r="D27" s="4" t="s">
        <v>15</v>
      </c>
      <c r="E27" s="4" t="s">
        <v>16</v>
      </c>
      <c r="F27" s="4" t="s">
        <v>25</v>
      </c>
      <c r="G27" s="3" t="n">
        <v>3</v>
      </c>
      <c r="H27" s="3" t="n">
        <v>34</v>
      </c>
    </row>
    <row r="28" customFormat="false" ht="15" hidden="false" customHeight="false" outlineLevel="0" collapsed="false">
      <c r="A28" s="2" t="n">
        <v>46189</v>
      </c>
      <c r="B28" s="3" t="n">
        <v>69</v>
      </c>
      <c r="C28" s="4" t="s">
        <v>8</v>
      </c>
      <c r="D28" s="4" t="s">
        <v>13</v>
      </c>
      <c r="E28" s="4" t="s">
        <v>10</v>
      </c>
      <c r="F28" s="4" t="s">
        <v>14</v>
      </c>
      <c r="G28" s="3" t="n">
        <v>3</v>
      </c>
      <c r="H28" s="3" t="n">
        <v>52</v>
      </c>
    </row>
    <row r="29" customFormat="false" ht="15" hidden="false" customHeight="false" outlineLevel="0" collapsed="false">
      <c r="A29" s="2" t="n">
        <v>46191</v>
      </c>
      <c r="B29" s="3" t="n">
        <v>49</v>
      </c>
      <c r="C29" s="4" t="s">
        <v>12</v>
      </c>
      <c r="D29" s="4" t="s">
        <v>15</v>
      </c>
      <c r="E29" s="4" t="s">
        <v>16</v>
      </c>
      <c r="F29" s="4" t="s">
        <v>19</v>
      </c>
      <c r="G29" s="3" t="n">
        <v>3</v>
      </c>
      <c r="H29" s="3" t="n">
        <v>42</v>
      </c>
    </row>
    <row r="30" customFormat="false" ht="15" hidden="false" customHeight="false" outlineLevel="0" collapsed="false">
      <c r="A30" s="2" t="n">
        <v>46194</v>
      </c>
      <c r="B30" s="3" t="n">
        <v>61</v>
      </c>
      <c r="C30" s="4" t="s">
        <v>12</v>
      </c>
      <c r="D30" s="4" t="s">
        <v>23</v>
      </c>
      <c r="E30" s="4" t="s">
        <v>16</v>
      </c>
      <c r="F30" s="4" t="s">
        <v>19</v>
      </c>
      <c r="G30" s="3" t="n">
        <v>2</v>
      </c>
      <c r="H30" s="3" t="n">
        <v>43</v>
      </c>
    </row>
    <row r="31" customFormat="false" ht="15" hidden="false" customHeight="false" outlineLevel="0" collapsed="false">
      <c r="A31" s="2" t="n">
        <v>46194</v>
      </c>
      <c r="B31" s="3" t="n">
        <v>81</v>
      </c>
      <c r="C31" s="4" t="s">
        <v>12</v>
      </c>
      <c r="D31" s="4" t="s">
        <v>21</v>
      </c>
      <c r="E31" s="4" t="s">
        <v>16</v>
      </c>
      <c r="F31" s="4" t="s">
        <v>14</v>
      </c>
      <c r="G31" s="3" t="n">
        <v>2</v>
      </c>
      <c r="H31" s="3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18.55" hidden="false" customHeight="false" outlineLevel="0" collapsed="false">
      <c r="A1" s="5" t="s">
        <v>28</v>
      </c>
    </row>
    <row r="2" customFormat="false" ht="15" hidden="false" customHeight="false" outlineLevel="0" collapsed="false">
      <c r="A2" s="6" t="s">
        <v>29</v>
      </c>
    </row>
    <row r="4" customFormat="false" ht="15" hidden="false" customHeight="false" outlineLevel="0" collapsed="false">
      <c r="A4" s="7" t="s">
        <v>30</v>
      </c>
      <c r="D4" s="7" t="s">
        <v>31</v>
      </c>
      <c r="H4" s="7" t="s">
        <v>32</v>
      </c>
    </row>
    <row r="5" customFormat="false" ht="15" hidden="false" customHeight="false" outlineLevel="0" collapsed="false">
      <c r="A5" s="8" t="s">
        <v>33</v>
      </c>
      <c r="B5" s="9" t="n">
        <f aca="false">COUNTA(Records!$A$2:$A$31)</f>
        <v>30</v>
      </c>
      <c r="D5" s="10" t="s">
        <v>34</v>
      </c>
      <c r="E5" s="10" t="s">
        <v>35</v>
      </c>
      <c r="H5" s="11" t="s">
        <v>8</v>
      </c>
      <c r="I5" s="12" t="n">
        <f aca="false">COUNTIF(Records!$C$2:$C$31,"Male")</f>
        <v>15</v>
      </c>
    </row>
    <row r="6" customFormat="false" ht="15" hidden="false" customHeight="false" outlineLevel="0" collapsed="false">
      <c r="A6" s="8" t="s">
        <v>36</v>
      </c>
      <c r="B6" s="9" t="n">
        <f aca="false">COUNTIF(Records!$E$2:$E$31,"Yes")</f>
        <v>22</v>
      </c>
      <c r="D6" s="11" t="s">
        <v>37</v>
      </c>
      <c r="E6" s="12" t="n">
        <f aca="false">SUMPRODUCT(--(MONTH(Records!$A$2:$A$31)=4))</f>
        <v>10</v>
      </c>
      <c r="H6" s="11" t="s">
        <v>12</v>
      </c>
      <c r="I6" s="12" t="n">
        <f aca="false">COUNTIF(Records!$C$2:$C$31,"Female")</f>
        <v>13</v>
      </c>
    </row>
    <row r="7" customFormat="false" ht="15" hidden="false" customHeight="false" outlineLevel="0" collapsed="false">
      <c r="A7" s="8" t="s">
        <v>38</v>
      </c>
      <c r="B7" s="13" t="n">
        <f aca="false">B6/B5</f>
        <v>0.733333333333333</v>
      </c>
      <c r="D7" s="11" t="s">
        <v>39</v>
      </c>
      <c r="E7" s="12" t="n">
        <f aca="false">SUMPRODUCT(--(MONTH(Records!$A$2:$A$31)=5))</f>
        <v>10</v>
      </c>
      <c r="H7" s="11" t="s">
        <v>17</v>
      </c>
      <c r="I7" s="12" t="n">
        <f aca="false">COUNTIF(Records!$C$2:$C$31,"Non-binary")</f>
        <v>2</v>
      </c>
    </row>
    <row r="8" customFormat="false" ht="15" hidden="false" customHeight="false" outlineLevel="0" collapsed="false">
      <c r="A8" s="8" t="s">
        <v>40</v>
      </c>
      <c r="B8" s="14" t="n">
        <f aca="false">SUM(Records!$H$2:$H$31)/60</f>
        <v>22.3166666666667</v>
      </c>
      <c r="D8" s="11" t="s">
        <v>41</v>
      </c>
      <c r="E8" s="12" t="n">
        <f aca="false">SUMPRODUCT(--(MONTH(Records!$A$2:$A$31)=6))</f>
        <v>10</v>
      </c>
    </row>
    <row r="9" customFormat="false" ht="15" hidden="false" customHeight="false" outlineLevel="0" collapsed="false">
      <c r="A9" s="8" t="s">
        <v>42</v>
      </c>
      <c r="B9" s="14" t="n">
        <f aca="false">AVERAGE(Records!$H$2:$H$31)</f>
        <v>44.6333333333333</v>
      </c>
      <c r="H9" s="7" t="s">
        <v>43</v>
      </c>
    </row>
    <row r="10" customFormat="false" ht="15" hidden="false" customHeight="false" outlineLevel="0" collapsed="false">
      <c r="A10" s="8" t="s">
        <v>44</v>
      </c>
      <c r="B10" s="14" t="n">
        <f aca="false">AVERAGE(Records!$B$2:$B$31)</f>
        <v>47.8</v>
      </c>
      <c r="H10" s="11" t="s">
        <v>45</v>
      </c>
      <c r="I10" s="12" t="n">
        <f aca="false">COUNTIF(Records!$E$2:$E$31,"Yes")</f>
        <v>22</v>
      </c>
    </row>
    <row r="11" customFormat="false" ht="15" hidden="false" customHeight="false" outlineLevel="0" collapsed="false">
      <c r="D11" s="7" t="s">
        <v>46</v>
      </c>
      <c r="H11" s="11" t="s">
        <v>47</v>
      </c>
      <c r="I11" s="12" t="n">
        <f aca="false">COUNTIF(Records!$E$2:$E$31,"No")</f>
        <v>8</v>
      </c>
    </row>
    <row r="12" customFormat="false" ht="15" hidden="false" customHeight="false" outlineLevel="0" collapsed="false">
      <c r="D12" s="10" t="s">
        <v>48</v>
      </c>
      <c r="E12" s="10" t="s">
        <v>35</v>
      </c>
      <c r="F12" s="10" t="s">
        <v>49</v>
      </c>
    </row>
    <row r="13" customFormat="false" ht="15" hidden="false" customHeight="false" outlineLevel="0" collapsed="false">
      <c r="D13" s="11" t="s">
        <v>19</v>
      </c>
      <c r="E13" s="12" t="n">
        <f aca="false">COUNTIF(Records!$F$2:$F$31,"ZAMA")</f>
        <v>5</v>
      </c>
      <c r="F13" s="14" t="n">
        <f aca="false">SUMPRODUCT(--(Records!$F$2:$F$31="ZAMA"),Records!$H$2:$H$31)/60</f>
        <v>3.75</v>
      </c>
    </row>
    <row r="14" customFormat="false" ht="15" hidden="false" customHeight="false" outlineLevel="0" collapsed="false">
      <c r="D14" s="11" t="s">
        <v>14</v>
      </c>
      <c r="E14" s="12" t="n">
        <f aca="false">COUNTIF(Records!$F$2:$F$31,"KAHP")</f>
        <v>10</v>
      </c>
      <c r="F14" s="14" t="n">
        <f aca="false">SUMPRODUCT(--(Records!$F$2:$F$31="KAHP"),Records!$H$2:$H$31)/60</f>
        <v>8.18333333333333</v>
      </c>
    </row>
    <row r="15" customFormat="false" ht="15" hidden="false" customHeight="false" outlineLevel="0" collapsed="false">
      <c r="D15" s="11" t="s">
        <v>18</v>
      </c>
      <c r="E15" s="12" t="n">
        <f aca="false">COUNTIF(Records!$F$2:$F$31,"SHA")</f>
        <v>6</v>
      </c>
      <c r="F15" s="14" t="n">
        <f aca="false">SUMPRODUCT(--(Records!$F$2:$F$31="SHA"),Records!$H$2:$H$31)/60</f>
        <v>4.48333333333333</v>
      </c>
    </row>
    <row r="16" customFormat="false" ht="15" hidden="false" customHeight="false" outlineLevel="0" collapsed="false">
      <c r="D16" s="11" t="s">
        <v>25</v>
      </c>
      <c r="E16" s="12" t="n">
        <f aca="false">COUNTIF(Records!$F$2:$F$31,"SGD")</f>
        <v>4</v>
      </c>
      <c r="F16" s="14" t="n">
        <f aca="false">SUMPRODUCT(--(Records!$F$2:$F$31="SGD"),Records!$H$2:$H$31)/60</f>
        <v>2.48333333333333</v>
      </c>
    </row>
    <row r="17" customFormat="false" ht="15" hidden="false" customHeight="false" outlineLevel="0" collapsed="false">
      <c r="D17" s="11" t="s">
        <v>11</v>
      </c>
      <c r="E17" s="12" t="n">
        <f aca="false">COUNTIF(Records!$F$2:$F$31,"YND")</f>
        <v>5</v>
      </c>
      <c r="F17" s="14" t="n">
        <f aca="false">SUMPRODUCT(--(Records!$F$2:$F$31="YND"),Records!$H$2:$H$31)/60</f>
        <v>3.41666666666667</v>
      </c>
    </row>
    <row r="21" customFormat="false" ht="15" hidden="false" customHeight="false" outlineLevel="0" collapsed="false">
      <c r="A21" s="7" t="s">
        <v>50</v>
      </c>
    </row>
    <row r="22" customFormat="false" ht="15" hidden="false" customHeight="false" outlineLevel="0" collapsed="false">
      <c r="A22" s="10" t="s">
        <v>48</v>
      </c>
      <c r="B22" s="10" t="s">
        <v>51</v>
      </c>
      <c r="C22" s="10" t="s">
        <v>52</v>
      </c>
      <c r="D22" s="10" t="s">
        <v>53</v>
      </c>
      <c r="E22" s="10" t="s">
        <v>54</v>
      </c>
    </row>
    <row r="23" customFormat="false" ht="15" hidden="false" customHeight="false" outlineLevel="0" collapsed="false">
      <c r="A23" s="11" t="s">
        <v>19</v>
      </c>
      <c r="B23" s="12" t="n">
        <f aca="false">SUMPRODUCT(--(MONTH(Records!$A$2:$A$31)=4),--(Records!$F$2:$F$31="ZAMA"))</f>
        <v>2</v>
      </c>
      <c r="C23" s="12" t="n">
        <f aca="false">SUMPRODUCT(--(MONTH(Records!$A$2:$A$31)=5),--(Records!$F$2:$F$31="ZAMA"))</f>
        <v>1</v>
      </c>
      <c r="D23" s="12" t="n">
        <f aca="false">SUMPRODUCT(--(MONTH(Records!$A$2:$A$31)=6),--(Records!$F$2:$F$31="ZAMA"))</f>
        <v>2</v>
      </c>
      <c r="E23" s="15" t="n">
        <f aca="false">SUM(B23:D23)</f>
        <v>5</v>
      </c>
    </row>
    <row r="24" customFormat="false" ht="15" hidden="false" customHeight="false" outlineLevel="0" collapsed="false">
      <c r="A24" s="11" t="s">
        <v>14</v>
      </c>
      <c r="B24" s="12" t="n">
        <f aca="false">SUMPRODUCT(--(MONTH(Records!$A$2:$A$31)=4),--(Records!$F$2:$F$31="KAHP"))</f>
        <v>4</v>
      </c>
      <c r="C24" s="12" t="n">
        <f aca="false">SUMPRODUCT(--(MONTH(Records!$A$2:$A$31)=5),--(Records!$F$2:$F$31="KAHP"))</f>
        <v>2</v>
      </c>
      <c r="D24" s="12" t="n">
        <f aca="false">SUMPRODUCT(--(MONTH(Records!$A$2:$A$31)=6),--(Records!$F$2:$F$31="KAHP"))</f>
        <v>4</v>
      </c>
      <c r="E24" s="15" t="n">
        <f aca="false">SUM(B24:D24)</f>
        <v>10</v>
      </c>
    </row>
    <row r="25" customFormat="false" ht="15" hidden="false" customHeight="false" outlineLevel="0" collapsed="false">
      <c r="A25" s="11" t="s">
        <v>18</v>
      </c>
      <c r="B25" s="12" t="n">
        <f aca="false">SUMPRODUCT(--(MONTH(Records!$A$2:$A$31)=4),--(Records!$F$2:$F$31="SHA"))</f>
        <v>2</v>
      </c>
      <c r="C25" s="12" t="n">
        <f aca="false">SUMPRODUCT(--(MONTH(Records!$A$2:$A$31)=5),--(Records!$F$2:$F$31="SHA"))</f>
        <v>3</v>
      </c>
      <c r="D25" s="12" t="n">
        <f aca="false">SUMPRODUCT(--(MONTH(Records!$A$2:$A$31)=6),--(Records!$F$2:$F$31="SHA"))</f>
        <v>1</v>
      </c>
      <c r="E25" s="15" t="n">
        <f aca="false">SUM(B25:D25)</f>
        <v>6</v>
      </c>
    </row>
    <row r="26" customFormat="false" ht="15" hidden="false" customHeight="false" outlineLevel="0" collapsed="false">
      <c r="A26" s="11" t="s">
        <v>25</v>
      </c>
      <c r="B26" s="12" t="n">
        <f aca="false">SUMPRODUCT(--(MONTH(Records!$A$2:$A$31)=4),--(Records!$F$2:$F$31="SGD"))</f>
        <v>0</v>
      </c>
      <c r="C26" s="12" t="n">
        <f aca="false">SUMPRODUCT(--(MONTH(Records!$A$2:$A$31)=5),--(Records!$F$2:$F$31="SGD"))</f>
        <v>2</v>
      </c>
      <c r="D26" s="12" t="n">
        <f aca="false">SUMPRODUCT(--(MONTH(Records!$A$2:$A$31)=6),--(Records!$F$2:$F$31="SGD"))</f>
        <v>2</v>
      </c>
      <c r="E26" s="15" t="n">
        <f aca="false">SUM(B26:D26)</f>
        <v>4</v>
      </c>
    </row>
    <row r="27" customFormat="false" ht="15" hidden="false" customHeight="false" outlineLevel="0" collapsed="false">
      <c r="A27" s="11" t="s">
        <v>11</v>
      </c>
      <c r="B27" s="12" t="n">
        <f aca="false">SUMPRODUCT(--(MONTH(Records!$A$2:$A$31)=4),--(Records!$F$2:$F$31="YND"))</f>
        <v>2</v>
      </c>
      <c r="C27" s="12" t="n">
        <f aca="false">SUMPRODUCT(--(MONTH(Records!$A$2:$A$31)=5),--(Records!$F$2:$F$31="YND"))</f>
        <v>2</v>
      </c>
      <c r="D27" s="12" t="n">
        <f aca="false">SUMPRODUCT(--(MONTH(Records!$A$2:$A$31)=6),--(Records!$F$2:$F$31="YND"))</f>
        <v>1</v>
      </c>
      <c r="E27" s="15" t="n">
        <f aca="false">SUM(B27:D27)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2026-06-10T11:12:52Z</dcterms:created>
  <dc:creator>openpyxl</dc:creator>
  <dc:description/>
  <dc:language>en-US</dc:language>
  <cp:lastModifiedBy/>
  <dcterms:modified xsi:type="dcterms:W3CDTF">2026-06-10T11:12:53Z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